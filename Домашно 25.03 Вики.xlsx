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toria Vutova\Desktop\"/>
    </mc:Choice>
  </mc:AlternateContent>
  <bookViews>
    <workbookView xWindow="0" yWindow="0" windowWidth="17256" windowHeight="6456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1" i="1" l="1"/>
  <c r="F11" i="1"/>
  <c r="F19" i="1" s="1"/>
  <c r="E12" i="1"/>
  <c r="E20" i="1" s="1"/>
  <c r="F12" i="1"/>
  <c r="F20" i="1" s="1"/>
  <c r="E13" i="1"/>
  <c r="F13" i="1"/>
  <c r="E14" i="1"/>
  <c r="E22" i="1" s="1"/>
  <c r="F14" i="1"/>
  <c r="F22" i="1" s="1"/>
  <c r="E16" i="1"/>
  <c r="F16" i="1"/>
  <c r="E21" i="1"/>
  <c r="F21" i="1"/>
</calcChain>
</file>

<file path=xl/sharedStrings.xml><?xml version="1.0" encoding="utf-8"?>
<sst xmlns="http://schemas.openxmlformats.org/spreadsheetml/2006/main" count="92" uniqueCount="48">
  <si>
    <t>Продукти</t>
  </si>
  <si>
    <t>2021 година</t>
  </si>
  <si>
    <t>2022 година</t>
  </si>
  <si>
    <t>2023 година</t>
  </si>
  <si>
    <t>2024 година</t>
  </si>
  <si>
    <t>2025 година</t>
  </si>
  <si>
    <t xml:space="preserve">Първо тримесечие </t>
  </si>
  <si>
    <t xml:space="preserve">Второ тримесечие </t>
  </si>
  <si>
    <t xml:space="preserve">Трето тримесечие </t>
  </si>
  <si>
    <t xml:space="preserve">Четвърто тримесечие </t>
  </si>
  <si>
    <t>Анализ на потреблението на картоф (кг) и захар (кг) средно на лице от домакинството по тримесечия за периода от 2021-2025г. в България</t>
  </si>
  <si>
    <t>Картофи - кг</t>
  </si>
  <si>
    <t>Захар - кг</t>
  </si>
  <si>
    <t>Период</t>
  </si>
  <si>
    <t>I трим. 2021</t>
  </si>
  <si>
    <t>II трим. 2021</t>
  </si>
  <si>
    <t>III трим. 2021</t>
  </si>
  <si>
    <t>IV трим. 2021</t>
  </si>
  <si>
    <t>I трим. 2022</t>
  </si>
  <si>
    <t>II трим. 2022</t>
  </si>
  <si>
    <t>III трим. 2022</t>
  </si>
  <si>
    <t>IV трим. 2022</t>
  </si>
  <si>
    <t>I трим. 2023</t>
  </si>
  <si>
    <t>II трим. 2023</t>
  </si>
  <si>
    <t>III трим. 2023</t>
  </si>
  <si>
    <t>IV трим. 2023</t>
  </si>
  <si>
    <t>I трим. 2024</t>
  </si>
  <si>
    <t>II трим. 2024</t>
  </si>
  <si>
    <t>III трим. 2024</t>
  </si>
  <si>
    <t>IV трим. 2024</t>
  </si>
  <si>
    <t>I трим. 2025</t>
  </si>
  <si>
    <t>II трим. 2025</t>
  </si>
  <si>
    <t>III трим. 2025</t>
  </si>
  <si>
    <t>IV трим. 2025</t>
  </si>
  <si>
    <t>Картофи(кг)</t>
  </si>
  <si>
    <t>Захар(кг)</t>
  </si>
  <si>
    <t>Сезонни колебания</t>
  </si>
  <si>
    <t>Средна на тремесечие(картофи(кг)</t>
  </si>
  <si>
    <t>Средна на тримесечие захар (кг)</t>
  </si>
  <si>
    <t>Обща средна</t>
  </si>
  <si>
    <t>картофи(кг)</t>
  </si>
  <si>
    <t>захар(кг)</t>
  </si>
  <si>
    <t xml:space="preserve">тримесечия </t>
  </si>
  <si>
    <t>1-во</t>
  </si>
  <si>
    <t>2-ро</t>
  </si>
  <si>
    <t>3-то</t>
  </si>
  <si>
    <t>4-то</t>
  </si>
  <si>
    <t>Сезонни коефициенти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</si>
</sst>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theme="4" tint="-0.499984740745262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2" fontId="0" fillId="0" borderId="0" xfId="0" applyNumberFormat="1"/>
    <xf numFmtId="0" fontId="0" fillId="0" borderId="13" xfId="0" applyBorder="1"/>
    <xf numFmtId="0" fontId="0" fillId="0" borderId="6" xfId="0" applyBorder="1"/>
    <xf numFmtId="2" fontId="0" fillId="0" borderId="13" xfId="0" applyNumberFormat="1" applyBorder="1"/>
    <xf numFmtId="0" fontId="0" fillId="3" borderId="13" xfId="0" applyFill="1" applyBorder="1"/>
    <xf numFmtId="164" fontId="0" fillId="3" borderId="13" xfId="0" applyNumberFormat="1" applyFill="1" applyBorder="1"/>
    <xf numFmtId="165" fontId="0" fillId="0" borderId="13" xfId="0" applyNumberFormat="1" applyBorder="1"/>
    <xf numFmtId="0" fontId="0" fillId="0" borderId="0" xfId="0" applyFill="1"/>
    <xf numFmtId="0" fontId="0" fillId="0" borderId="0" xfId="0" applyFill="1" applyBorder="1"/>
    <xf numFmtId="0" fontId="0" fillId="4" borderId="13" xfId="0" applyFill="1" applyBorder="1"/>
    <xf numFmtId="0" fontId="1" fillId="0" borderId="13" xfId="0" applyFont="1" applyBorder="1"/>
    <xf numFmtId="0" fontId="5" fillId="0" borderId="13" xfId="0" applyFont="1" applyBorder="1"/>
    <xf numFmtId="0" fontId="6" fillId="0" borderId="13" xfId="0" applyFont="1" applyBorder="1"/>
    <xf numFmtId="0" fontId="7" fillId="0" borderId="13" xfId="0" applyFont="1" applyBorder="1"/>
    <xf numFmtId="0" fontId="8" fillId="0" borderId="13" xfId="0" applyFont="1" applyBorder="1"/>
    <xf numFmtId="0" fontId="2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g-BG" sz="1200" baseline="0"/>
              <a:t>Анализ на потреблението на картоф (кг) и захар(кг) средно на лице от домакинството за тримесечия през периода 2021-2025г в България</a:t>
            </a:r>
            <a:endParaRPr lang="en-US" sz="1200" baseline="0"/>
          </a:p>
        </c:rich>
      </c:tx>
      <c:layout>
        <c:manualLayout>
          <c:xMode val="edge"/>
          <c:yMode val="edge"/>
          <c:x val="0.113576334208223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Картофи(кг)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Sheet2!$A$2:$A$21</c:f>
              <c:strCache>
                <c:ptCount val="20"/>
                <c:pt idx="0">
                  <c:v>I трим. 2021</c:v>
                </c:pt>
                <c:pt idx="1">
                  <c:v>II трим. 2021</c:v>
                </c:pt>
                <c:pt idx="2">
                  <c:v>III трим. 2021</c:v>
                </c:pt>
                <c:pt idx="3">
                  <c:v>IV трим. 2021</c:v>
                </c:pt>
                <c:pt idx="4">
                  <c:v>I трим. 2022</c:v>
                </c:pt>
                <c:pt idx="5">
                  <c:v>II трим. 2022</c:v>
                </c:pt>
                <c:pt idx="6">
                  <c:v>III трим. 2022</c:v>
                </c:pt>
                <c:pt idx="7">
                  <c:v>IV трим. 2022</c:v>
                </c:pt>
                <c:pt idx="8">
                  <c:v>I трим. 2023</c:v>
                </c:pt>
                <c:pt idx="9">
                  <c:v>II трим. 2023</c:v>
                </c:pt>
                <c:pt idx="10">
                  <c:v>III трим. 2023</c:v>
                </c:pt>
                <c:pt idx="11">
                  <c:v>IV трим. 2023</c:v>
                </c:pt>
                <c:pt idx="12">
                  <c:v>I трим. 2024</c:v>
                </c:pt>
                <c:pt idx="13">
                  <c:v>II трим. 2024</c:v>
                </c:pt>
                <c:pt idx="14">
                  <c:v>III трим. 2024</c:v>
                </c:pt>
                <c:pt idx="15">
                  <c:v>IV трим. 2024</c:v>
                </c:pt>
                <c:pt idx="16">
                  <c:v>I трим. 2025</c:v>
                </c:pt>
                <c:pt idx="17">
                  <c:v>II трим. 2025</c:v>
                </c:pt>
                <c:pt idx="18">
                  <c:v>III трим. 2025</c:v>
                </c:pt>
                <c:pt idx="19">
                  <c:v>IV трим. 2025</c:v>
                </c:pt>
              </c:strCache>
            </c:strRef>
          </c:cat>
          <c:val>
            <c:numRef>
              <c:f>Sheet2!$B$2:$B$21</c:f>
              <c:numCache>
                <c:formatCode>General</c:formatCode>
                <c:ptCount val="20"/>
                <c:pt idx="0">
                  <c:v>7.2</c:v>
                </c:pt>
                <c:pt idx="1">
                  <c:v>6.8</c:v>
                </c:pt>
                <c:pt idx="2">
                  <c:v>7</c:v>
                </c:pt>
                <c:pt idx="3">
                  <c:v>7.1</c:v>
                </c:pt>
                <c:pt idx="4">
                  <c:v>7.1</c:v>
                </c:pt>
                <c:pt idx="5">
                  <c:v>6.7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6.7</c:v>
                </c:pt>
                <c:pt idx="10">
                  <c:v>6.7</c:v>
                </c:pt>
                <c:pt idx="11">
                  <c:v>6.9</c:v>
                </c:pt>
                <c:pt idx="12">
                  <c:v>6.8</c:v>
                </c:pt>
                <c:pt idx="13">
                  <c:v>6.7</c:v>
                </c:pt>
                <c:pt idx="14">
                  <c:v>6.6</c:v>
                </c:pt>
                <c:pt idx="15">
                  <c:v>6.7</c:v>
                </c:pt>
                <c:pt idx="16">
                  <c:v>6.7</c:v>
                </c:pt>
                <c:pt idx="17">
                  <c:v>6.7</c:v>
                </c:pt>
                <c:pt idx="18">
                  <c:v>6.6</c:v>
                </c:pt>
                <c:pt idx="1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0-4B1A-90A5-682C2E8D5DD4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Захар(кг)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Sheet2!$A$2:$A$21</c:f>
              <c:strCache>
                <c:ptCount val="20"/>
                <c:pt idx="0">
                  <c:v>I трим. 2021</c:v>
                </c:pt>
                <c:pt idx="1">
                  <c:v>II трим. 2021</c:v>
                </c:pt>
                <c:pt idx="2">
                  <c:v>III трим. 2021</c:v>
                </c:pt>
                <c:pt idx="3">
                  <c:v>IV трим. 2021</c:v>
                </c:pt>
                <c:pt idx="4">
                  <c:v>I трим. 2022</c:v>
                </c:pt>
                <c:pt idx="5">
                  <c:v>II трим. 2022</c:v>
                </c:pt>
                <c:pt idx="6">
                  <c:v>III трим. 2022</c:v>
                </c:pt>
                <c:pt idx="7">
                  <c:v>IV трим. 2022</c:v>
                </c:pt>
                <c:pt idx="8">
                  <c:v>I трим. 2023</c:v>
                </c:pt>
                <c:pt idx="9">
                  <c:v>II трим. 2023</c:v>
                </c:pt>
                <c:pt idx="10">
                  <c:v>III трим. 2023</c:v>
                </c:pt>
                <c:pt idx="11">
                  <c:v>IV трим. 2023</c:v>
                </c:pt>
                <c:pt idx="12">
                  <c:v>I трим. 2024</c:v>
                </c:pt>
                <c:pt idx="13">
                  <c:v>II трим. 2024</c:v>
                </c:pt>
                <c:pt idx="14">
                  <c:v>III трим. 2024</c:v>
                </c:pt>
                <c:pt idx="15">
                  <c:v>IV трим. 2024</c:v>
                </c:pt>
                <c:pt idx="16">
                  <c:v>I трим. 2025</c:v>
                </c:pt>
                <c:pt idx="17">
                  <c:v>II трим. 2025</c:v>
                </c:pt>
                <c:pt idx="18">
                  <c:v>III трим. 2025</c:v>
                </c:pt>
                <c:pt idx="19">
                  <c:v>IV трим. 2025</c:v>
                </c:pt>
              </c:strCache>
            </c:strRef>
          </c:cat>
          <c:val>
            <c:numRef>
              <c:f>Sheet2!$C$2:$C$21</c:f>
              <c:numCache>
                <c:formatCode>General</c:formatCode>
                <c:ptCount val="20"/>
                <c:pt idx="0">
                  <c:v>1.6</c:v>
                </c:pt>
                <c:pt idx="1">
                  <c:v>1.6</c:v>
                </c:pt>
                <c:pt idx="2">
                  <c:v>1.7</c:v>
                </c:pt>
                <c:pt idx="3">
                  <c:v>1.7</c:v>
                </c:pt>
                <c:pt idx="4">
                  <c:v>1.7</c:v>
                </c:pt>
                <c:pt idx="5">
                  <c:v>1.6</c:v>
                </c:pt>
                <c:pt idx="6">
                  <c:v>1.5</c:v>
                </c:pt>
                <c:pt idx="7">
                  <c:v>1.6</c:v>
                </c:pt>
                <c:pt idx="8">
                  <c:v>1.5</c:v>
                </c:pt>
                <c:pt idx="9">
                  <c:v>1.5</c:v>
                </c:pt>
                <c:pt idx="10">
                  <c:v>1.4</c:v>
                </c:pt>
                <c:pt idx="11">
                  <c:v>1.4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0-4B1A-90A5-682C2E8D5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374991"/>
        <c:axId val="746382895"/>
      </c:lineChart>
      <c:catAx>
        <c:axId val="7463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82895"/>
        <c:crosses val="autoZero"/>
        <c:auto val="1"/>
        <c:lblAlgn val="ctr"/>
        <c:lblOffset val="100"/>
        <c:noMultiLvlLbl val="0"/>
      </c:catAx>
      <c:valAx>
        <c:axId val="7463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7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g-BG" sz="1200" baseline="0"/>
              <a:t>Анализ на потреблението на картоф (кг) и захар(кг) средно на лице от домакинството за тримесечия през периода 2021-2025г в България</a:t>
            </a:r>
            <a:endParaRPr lang="en-US" sz="1200" baseline="0"/>
          </a:p>
        </c:rich>
      </c:tx>
      <c:layout>
        <c:manualLayout>
          <c:xMode val="edge"/>
          <c:yMode val="edge"/>
          <c:x val="0.113576334208223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Картофи(кг)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Sheet2!$A$2:$A$21</c:f>
              <c:strCache>
                <c:ptCount val="20"/>
                <c:pt idx="0">
                  <c:v>I трим. 2021</c:v>
                </c:pt>
                <c:pt idx="1">
                  <c:v>II трим. 2021</c:v>
                </c:pt>
                <c:pt idx="2">
                  <c:v>III трим. 2021</c:v>
                </c:pt>
                <c:pt idx="3">
                  <c:v>IV трим. 2021</c:v>
                </c:pt>
                <c:pt idx="4">
                  <c:v>I трим. 2022</c:v>
                </c:pt>
                <c:pt idx="5">
                  <c:v>II трим. 2022</c:v>
                </c:pt>
                <c:pt idx="6">
                  <c:v>III трим. 2022</c:v>
                </c:pt>
                <c:pt idx="7">
                  <c:v>IV трим. 2022</c:v>
                </c:pt>
                <c:pt idx="8">
                  <c:v>I трим. 2023</c:v>
                </c:pt>
                <c:pt idx="9">
                  <c:v>II трим. 2023</c:v>
                </c:pt>
                <c:pt idx="10">
                  <c:v>III трим. 2023</c:v>
                </c:pt>
                <c:pt idx="11">
                  <c:v>IV трим. 2023</c:v>
                </c:pt>
                <c:pt idx="12">
                  <c:v>I трим. 2024</c:v>
                </c:pt>
                <c:pt idx="13">
                  <c:v>II трим. 2024</c:v>
                </c:pt>
                <c:pt idx="14">
                  <c:v>III трим. 2024</c:v>
                </c:pt>
                <c:pt idx="15">
                  <c:v>IV трим. 2024</c:v>
                </c:pt>
                <c:pt idx="16">
                  <c:v>I трим. 2025</c:v>
                </c:pt>
                <c:pt idx="17">
                  <c:v>II трим. 2025</c:v>
                </c:pt>
                <c:pt idx="18">
                  <c:v>III трим. 2025</c:v>
                </c:pt>
                <c:pt idx="19">
                  <c:v>IV трим. 2025</c:v>
                </c:pt>
              </c:strCache>
            </c:strRef>
          </c:cat>
          <c:val>
            <c:numRef>
              <c:f>Sheet2!$B$2:$B$21</c:f>
              <c:numCache>
                <c:formatCode>General</c:formatCode>
                <c:ptCount val="20"/>
                <c:pt idx="0">
                  <c:v>7.2</c:v>
                </c:pt>
                <c:pt idx="1">
                  <c:v>6.8</c:v>
                </c:pt>
                <c:pt idx="2">
                  <c:v>7</c:v>
                </c:pt>
                <c:pt idx="3">
                  <c:v>7.1</c:v>
                </c:pt>
                <c:pt idx="4">
                  <c:v>7.1</c:v>
                </c:pt>
                <c:pt idx="5">
                  <c:v>6.7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6.7</c:v>
                </c:pt>
                <c:pt idx="10">
                  <c:v>6.7</c:v>
                </c:pt>
                <c:pt idx="11">
                  <c:v>6.9</c:v>
                </c:pt>
                <c:pt idx="12">
                  <c:v>6.8</c:v>
                </c:pt>
                <c:pt idx="13">
                  <c:v>6.7</c:v>
                </c:pt>
                <c:pt idx="14">
                  <c:v>6.6</c:v>
                </c:pt>
                <c:pt idx="15">
                  <c:v>6.7</c:v>
                </c:pt>
                <c:pt idx="16">
                  <c:v>6.7</c:v>
                </c:pt>
                <c:pt idx="17">
                  <c:v>6.7</c:v>
                </c:pt>
                <c:pt idx="18">
                  <c:v>6.6</c:v>
                </c:pt>
                <c:pt idx="1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7D0-965D-0031522A463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Захар(кг)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Sheet2!$A$2:$A$21</c:f>
              <c:strCache>
                <c:ptCount val="20"/>
                <c:pt idx="0">
                  <c:v>I трим. 2021</c:v>
                </c:pt>
                <c:pt idx="1">
                  <c:v>II трим. 2021</c:v>
                </c:pt>
                <c:pt idx="2">
                  <c:v>III трим. 2021</c:v>
                </c:pt>
                <c:pt idx="3">
                  <c:v>IV трим. 2021</c:v>
                </c:pt>
                <c:pt idx="4">
                  <c:v>I трим. 2022</c:v>
                </c:pt>
                <c:pt idx="5">
                  <c:v>II трим. 2022</c:v>
                </c:pt>
                <c:pt idx="6">
                  <c:v>III трим. 2022</c:v>
                </c:pt>
                <c:pt idx="7">
                  <c:v>IV трим. 2022</c:v>
                </c:pt>
                <c:pt idx="8">
                  <c:v>I трим. 2023</c:v>
                </c:pt>
                <c:pt idx="9">
                  <c:v>II трим. 2023</c:v>
                </c:pt>
                <c:pt idx="10">
                  <c:v>III трим. 2023</c:v>
                </c:pt>
                <c:pt idx="11">
                  <c:v>IV трим. 2023</c:v>
                </c:pt>
                <c:pt idx="12">
                  <c:v>I трим. 2024</c:v>
                </c:pt>
                <c:pt idx="13">
                  <c:v>II трим. 2024</c:v>
                </c:pt>
                <c:pt idx="14">
                  <c:v>III трим. 2024</c:v>
                </c:pt>
                <c:pt idx="15">
                  <c:v>IV трим. 2024</c:v>
                </c:pt>
                <c:pt idx="16">
                  <c:v>I трим. 2025</c:v>
                </c:pt>
                <c:pt idx="17">
                  <c:v>II трим. 2025</c:v>
                </c:pt>
                <c:pt idx="18">
                  <c:v>III трим. 2025</c:v>
                </c:pt>
                <c:pt idx="19">
                  <c:v>IV трим. 2025</c:v>
                </c:pt>
              </c:strCache>
            </c:strRef>
          </c:cat>
          <c:val>
            <c:numRef>
              <c:f>Sheet2!$C$2:$C$21</c:f>
              <c:numCache>
                <c:formatCode>General</c:formatCode>
                <c:ptCount val="20"/>
                <c:pt idx="0">
                  <c:v>1.6</c:v>
                </c:pt>
                <c:pt idx="1">
                  <c:v>1.6</c:v>
                </c:pt>
                <c:pt idx="2">
                  <c:v>1.7</c:v>
                </c:pt>
                <c:pt idx="3">
                  <c:v>1.7</c:v>
                </c:pt>
                <c:pt idx="4">
                  <c:v>1.7</c:v>
                </c:pt>
                <c:pt idx="5">
                  <c:v>1.6</c:v>
                </c:pt>
                <c:pt idx="6">
                  <c:v>1.5</c:v>
                </c:pt>
                <c:pt idx="7">
                  <c:v>1.6</c:v>
                </c:pt>
                <c:pt idx="8">
                  <c:v>1.5</c:v>
                </c:pt>
                <c:pt idx="9">
                  <c:v>1.5</c:v>
                </c:pt>
                <c:pt idx="10">
                  <c:v>1.4</c:v>
                </c:pt>
                <c:pt idx="11">
                  <c:v>1.4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2-47D0-965D-0031522A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374991"/>
        <c:axId val="746382895"/>
      </c:lineChart>
      <c:catAx>
        <c:axId val="7463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82895"/>
        <c:crosses val="autoZero"/>
        <c:auto val="1"/>
        <c:lblAlgn val="ctr"/>
        <c:lblOffset val="100"/>
        <c:noMultiLvlLbl val="0"/>
      </c:catAx>
      <c:valAx>
        <c:axId val="7463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7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7</xdr:row>
      <xdr:rowOff>60960</xdr:rowOff>
    </xdr:from>
    <xdr:to>
      <xdr:col>12</xdr:col>
      <xdr:colOff>228600</xdr:colOff>
      <xdr:row>22</xdr:row>
      <xdr:rowOff>60960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182880</xdr:colOff>
      <xdr:row>0</xdr:row>
      <xdr:rowOff>106680</xdr:rowOff>
    </xdr:from>
    <xdr:to>
      <xdr:col>16</xdr:col>
      <xdr:colOff>487680</xdr:colOff>
      <xdr:row>15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E20" sqref="E20"/>
    </sheetView>
  </sheetViews>
  <sheetFormatPr defaultRowHeight="14.4" x14ac:dyDescent="0.3"/>
  <cols>
    <col min="1" max="1" width="13.109375" customWidth="1"/>
    <col min="2" max="2" width="12.33203125" customWidth="1"/>
    <col min="3" max="3" width="11.77734375" customWidth="1"/>
    <col min="4" max="4" width="19.5546875" customWidth="1"/>
    <col min="5" max="5" width="23.77734375" customWidth="1"/>
    <col min="6" max="6" width="27" customWidth="1"/>
    <col min="7" max="7" width="11.6640625" customWidth="1"/>
    <col min="8" max="8" width="11.33203125" customWidth="1"/>
    <col min="9" max="9" width="11" customWidth="1"/>
    <col min="10" max="10" width="12.21875" customWidth="1"/>
    <col min="11" max="11" width="12.5546875" customWidth="1"/>
    <col min="12" max="12" width="11.109375" customWidth="1"/>
    <col min="13" max="13" width="14.33203125" customWidth="1"/>
    <col min="14" max="14" width="10.6640625" customWidth="1"/>
    <col min="15" max="15" width="10.88671875" customWidth="1"/>
    <col min="16" max="17" width="12.21875" customWidth="1"/>
    <col min="18" max="18" width="11.109375" customWidth="1"/>
    <col min="19" max="19" width="11.44140625" customWidth="1"/>
    <col min="20" max="20" width="11.77734375" customWidth="1"/>
    <col min="21" max="21" width="12.88671875" customWidth="1"/>
  </cols>
  <sheetData>
    <row r="1" spans="1:21" ht="18" x14ac:dyDescent="0.35">
      <c r="B1" s="2" t="s">
        <v>10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21" x14ac:dyDescent="0.3">
      <c r="A2" s="28" t="s">
        <v>0</v>
      </c>
      <c r="B2" s="25" t="s">
        <v>1</v>
      </c>
      <c r="C2" s="26"/>
      <c r="D2" s="26"/>
      <c r="E2" s="27"/>
      <c r="F2" s="25" t="s">
        <v>2</v>
      </c>
      <c r="G2" s="26"/>
      <c r="H2" s="26"/>
      <c r="I2" s="27"/>
      <c r="J2" s="25" t="s">
        <v>3</v>
      </c>
      <c r="K2" s="26"/>
      <c r="L2" s="26"/>
      <c r="M2" s="27"/>
      <c r="N2" s="25" t="s">
        <v>4</v>
      </c>
      <c r="O2" s="26"/>
      <c r="P2" s="26"/>
      <c r="Q2" s="27"/>
      <c r="R2" s="25" t="s">
        <v>5</v>
      </c>
      <c r="S2" s="26"/>
      <c r="T2" s="26"/>
      <c r="U2" s="27"/>
    </row>
    <row r="3" spans="1:21" ht="20.399999999999999" x14ac:dyDescent="0.3">
      <c r="A3" s="29"/>
      <c r="B3" s="1" t="s">
        <v>6</v>
      </c>
      <c r="C3" s="1" t="s">
        <v>7</v>
      </c>
      <c r="D3" s="1" t="s">
        <v>8</v>
      </c>
      <c r="E3" s="1" t="s">
        <v>9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6</v>
      </c>
      <c r="O3" s="1" t="s">
        <v>7</v>
      </c>
      <c r="P3" s="1" t="s">
        <v>8</v>
      </c>
      <c r="Q3" s="1" t="s">
        <v>9</v>
      </c>
      <c r="R3" s="1" t="s">
        <v>6</v>
      </c>
      <c r="S3" s="1" t="s">
        <v>7</v>
      </c>
      <c r="T3" s="1" t="s">
        <v>8</v>
      </c>
      <c r="U3" s="1" t="s">
        <v>9</v>
      </c>
    </row>
    <row r="4" spans="1:21" ht="15" thickBot="1" x14ac:dyDescent="0.35">
      <c r="A4" s="3" t="s">
        <v>11</v>
      </c>
      <c r="B4" s="4">
        <v>7.2</v>
      </c>
      <c r="C4" s="4">
        <v>6.8</v>
      </c>
      <c r="D4" s="4">
        <v>7</v>
      </c>
      <c r="E4" s="4">
        <v>7.1</v>
      </c>
      <c r="F4" s="4">
        <v>7.1</v>
      </c>
      <c r="G4" s="4">
        <v>6.7</v>
      </c>
      <c r="H4" s="4">
        <v>6.9</v>
      </c>
      <c r="I4" s="4">
        <v>6.9</v>
      </c>
      <c r="J4" s="4">
        <v>6.9</v>
      </c>
      <c r="K4" s="4">
        <v>6.7</v>
      </c>
      <c r="L4" s="4">
        <v>6.7</v>
      </c>
      <c r="M4" s="4">
        <v>6.9</v>
      </c>
      <c r="N4" s="4">
        <v>6.8</v>
      </c>
      <c r="O4" s="4">
        <v>6.7</v>
      </c>
      <c r="P4" s="4">
        <v>6.6</v>
      </c>
      <c r="Q4" s="4">
        <v>6.7</v>
      </c>
      <c r="R4" s="4">
        <v>6.7</v>
      </c>
      <c r="S4" s="4">
        <v>6.7</v>
      </c>
      <c r="T4" s="4">
        <v>6.6</v>
      </c>
      <c r="U4" s="5">
        <v>6.8</v>
      </c>
    </row>
    <row r="5" spans="1:21" ht="15" thickBot="1" x14ac:dyDescent="0.35">
      <c r="A5" s="6" t="s">
        <v>12</v>
      </c>
      <c r="B5" s="7">
        <v>1.6</v>
      </c>
      <c r="C5" s="7">
        <v>1.6</v>
      </c>
      <c r="D5" s="7">
        <v>1.7</v>
      </c>
      <c r="E5" s="7">
        <v>1.7</v>
      </c>
      <c r="F5" s="7">
        <v>1.7</v>
      </c>
      <c r="G5" s="7">
        <v>1.6</v>
      </c>
      <c r="H5" s="7">
        <v>1.5</v>
      </c>
      <c r="I5" s="7">
        <v>1.6</v>
      </c>
      <c r="J5" s="7">
        <v>1.5</v>
      </c>
      <c r="K5" s="7">
        <v>1.5</v>
      </c>
      <c r="L5" s="7">
        <v>1.4</v>
      </c>
      <c r="M5" s="7">
        <v>1.4</v>
      </c>
      <c r="N5" s="7">
        <v>1.3</v>
      </c>
      <c r="O5" s="7">
        <v>1.3</v>
      </c>
      <c r="P5" s="7">
        <v>1.3</v>
      </c>
      <c r="Q5" s="7">
        <v>1.3</v>
      </c>
      <c r="R5" s="7">
        <v>1.3</v>
      </c>
      <c r="S5" s="7">
        <v>1.2</v>
      </c>
      <c r="T5" s="7">
        <v>1.2</v>
      </c>
      <c r="U5" s="8">
        <v>1.2</v>
      </c>
    </row>
    <row r="9" spans="1:21" x14ac:dyDescent="0.3">
      <c r="D9" s="11"/>
      <c r="E9" s="11" t="s">
        <v>36</v>
      </c>
      <c r="F9" s="11"/>
      <c r="G9" s="9"/>
    </row>
    <row r="10" spans="1:21" x14ac:dyDescent="0.3">
      <c r="A10" s="11" t="s">
        <v>13</v>
      </c>
      <c r="B10" s="11" t="s">
        <v>34</v>
      </c>
      <c r="C10" s="11" t="s">
        <v>35</v>
      </c>
      <c r="D10" s="19" t="s">
        <v>42</v>
      </c>
      <c r="E10" s="19" t="s">
        <v>37</v>
      </c>
      <c r="F10" s="19" t="s">
        <v>38</v>
      </c>
      <c r="G10" s="18"/>
      <c r="H10" s="17"/>
    </row>
    <row r="11" spans="1:21" x14ac:dyDescent="0.3">
      <c r="A11" s="11" t="s">
        <v>14</v>
      </c>
      <c r="B11" s="20">
        <v>7.2</v>
      </c>
      <c r="C11" s="20">
        <v>1.6</v>
      </c>
      <c r="D11" s="11" t="s">
        <v>43</v>
      </c>
      <c r="E11" s="13">
        <f>AVERAGE(B4,F4,J4,N4,R4)</f>
        <v>6.94</v>
      </c>
      <c r="F11" s="13">
        <f>AVERAGE(B5,F5,J5,N5,R5)</f>
        <v>1.48</v>
      </c>
      <c r="G11" s="9"/>
    </row>
    <row r="12" spans="1:21" x14ac:dyDescent="0.3">
      <c r="A12" s="11" t="s">
        <v>15</v>
      </c>
      <c r="B12" s="20">
        <v>6.8</v>
      </c>
      <c r="C12" s="20">
        <v>1.6</v>
      </c>
      <c r="D12" s="11" t="s">
        <v>44</v>
      </c>
      <c r="E12" s="13">
        <f>AVERAGE(C4,G4,K4,O4,S4)</f>
        <v>6.7200000000000006</v>
      </c>
      <c r="F12" s="13">
        <f>AVERAGE(C5,G5,K5,O5,S5)</f>
        <v>1.44</v>
      </c>
      <c r="G12" s="9"/>
    </row>
    <row r="13" spans="1:21" x14ac:dyDescent="0.3">
      <c r="A13" s="11" t="s">
        <v>16</v>
      </c>
      <c r="B13" s="20">
        <v>7</v>
      </c>
      <c r="C13" s="20">
        <v>1.7</v>
      </c>
      <c r="D13" s="11" t="s">
        <v>45</v>
      </c>
      <c r="E13" s="13">
        <f>AVERAGE(D4,H4,L4,P4,T4)</f>
        <v>6.7600000000000007</v>
      </c>
      <c r="F13" s="13">
        <f>AVERAGE(D5,H5,L5,P5,T5)</f>
        <v>1.42</v>
      </c>
      <c r="G13" s="9"/>
    </row>
    <row r="14" spans="1:21" x14ac:dyDescent="0.3">
      <c r="A14" s="11" t="s">
        <v>17</v>
      </c>
      <c r="B14" s="20">
        <v>7.1</v>
      </c>
      <c r="C14" s="20">
        <v>1.7</v>
      </c>
      <c r="D14" s="11" t="s">
        <v>46</v>
      </c>
      <c r="E14" s="13">
        <f>AVERAGE(E4,I4,M4,Q4,U4)</f>
        <v>6.88</v>
      </c>
      <c r="F14" s="13">
        <f>AVERAGE(E5,I5,M5,Q5,U5)</f>
        <v>1.44</v>
      </c>
      <c r="G14" s="9"/>
    </row>
    <row r="15" spans="1:21" x14ac:dyDescent="0.3">
      <c r="A15" s="11" t="s">
        <v>18</v>
      </c>
      <c r="B15" s="22">
        <v>7.1</v>
      </c>
      <c r="C15" s="22">
        <v>1.7</v>
      </c>
      <c r="D15" s="11"/>
      <c r="E15" s="13"/>
      <c r="F15" s="13"/>
      <c r="G15" s="9"/>
    </row>
    <row r="16" spans="1:21" x14ac:dyDescent="0.3">
      <c r="A16" s="11" t="s">
        <v>19</v>
      </c>
      <c r="B16" s="22">
        <v>6.7</v>
      </c>
      <c r="C16" s="22">
        <v>1.6</v>
      </c>
      <c r="D16" s="14" t="s">
        <v>39</v>
      </c>
      <c r="E16" s="15">
        <f>SUM(E11:E14)/4</f>
        <v>6.8250000000000002</v>
      </c>
      <c r="F16" s="15">
        <f>SUM(F11:F15)/4</f>
        <v>1.4449999999999998</v>
      </c>
      <c r="G16" s="9"/>
    </row>
    <row r="17" spans="1:8" x14ac:dyDescent="0.3">
      <c r="A17" s="11" t="s">
        <v>20</v>
      </c>
      <c r="B17" s="22">
        <v>6.9</v>
      </c>
      <c r="C17" s="22">
        <v>1.5</v>
      </c>
      <c r="D17" s="11"/>
      <c r="E17" s="11" t="s">
        <v>47</v>
      </c>
      <c r="F17" s="11"/>
      <c r="G17" s="9"/>
    </row>
    <row r="18" spans="1:8" x14ac:dyDescent="0.3">
      <c r="A18" s="11" t="s">
        <v>21</v>
      </c>
      <c r="B18" s="22">
        <v>6.9</v>
      </c>
      <c r="C18" s="22">
        <v>1.6</v>
      </c>
      <c r="D18" s="19" t="s">
        <v>42</v>
      </c>
      <c r="E18" s="19" t="s">
        <v>40</v>
      </c>
      <c r="F18" s="19" t="s">
        <v>41</v>
      </c>
      <c r="G18" s="9"/>
    </row>
    <row r="19" spans="1:8" x14ac:dyDescent="0.3">
      <c r="A19" s="11" t="s">
        <v>22</v>
      </c>
      <c r="B19" s="21">
        <v>6.9</v>
      </c>
      <c r="C19" s="21">
        <v>1.5</v>
      </c>
      <c r="D19" s="12" t="s">
        <v>43</v>
      </c>
      <c r="E19" s="16">
        <f>E11/E16</f>
        <v>1.0168498168498168</v>
      </c>
      <c r="F19" s="16">
        <f>F11/F16</f>
        <v>1.0242214532871974</v>
      </c>
      <c r="G19" s="9"/>
    </row>
    <row r="20" spans="1:8" x14ac:dyDescent="0.3">
      <c r="A20" s="11" t="s">
        <v>23</v>
      </c>
      <c r="B20" s="21">
        <v>6.7</v>
      </c>
      <c r="C20" s="21">
        <v>1.5</v>
      </c>
      <c r="D20" s="12" t="s">
        <v>44</v>
      </c>
      <c r="E20" s="16">
        <f>E12/E16</f>
        <v>0.98461538461538467</v>
      </c>
      <c r="F20" s="16">
        <f>F12/F16</f>
        <v>0.99653979238754331</v>
      </c>
      <c r="G20" s="9"/>
      <c r="H20" s="9"/>
    </row>
    <row r="21" spans="1:8" x14ac:dyDescent="0.3">
      <c r="A21" s="11" t="s">
        <v>24</v>
      </c>
      <c r="B21" s="21">
        <v>6.7</v>
      </c>
      <c r="C21" s="21">
        <v>1.4</v>
      </c>
      <c r="D21" s="12" t="s">
        <v>45</v>
      </c>
      <c r="E21" s="16">
        <f>E13/E16</f>
        <v>0.99047619047619051</v>
      </c>
      <c r="F21" s="16">
        <f>F13/F16</f>
        <v>0.98269896193771633</v>
      </c>
      <c r="G21" s="9"/>
    </row>
    <row r="22" spans="1:8" x14ac:dyDescent="0.3">
      <c r="A22" s="11" t="s">
        <v>25</v>
      </c>
      <c r="B22" s="21">
        <v>6.9</v>
      </c>
      <c r="C22" s="21">
        <v>1.4</v>
      </c>
      <c r="D22" s="12" t="s">
        <v>46</v>
      </c>
      <c r="E22" s="16">
        <f>E14/E16</f>
        <v>1.008058608058608</v>
      </c>
      <c r="F22" s="16">
        <f>F14/F16</f>
        <v>0.99653979238754331</v>
      </c>
      <c r="G22" s="9"/>
    </row>
    <row r="23" spans="1:8" x14ac:dyDescent="0.3">
      <c r="A23" s="11" t="s">
        <v>26</v>
      </c>
      <c r="B23" s="23">
        <v>6.8</v>
      </c>
      <c r="C23" s="23">
        <v>1.3</v>
      </c>
      <c r="E23" s="10"/>
      <c r="F23" s="10"/>
    </row>
    <row r="24" spans="1:8" x14ac:dyDescent="0.3">
      <c r="A24" s="11" t="s">
        <v>27</v>
      </c>
      <c r="B24" s="23">
        <v>6.7</v>
      </c>
      <c r="C24" s="23">
        <v>1.3</v>
      </c>
    </row>
    <row r="25" spans="1:8" x14ac:dyDescent="0.3">
      <c r="A25" s="11" t="s">
        <v>28</v>
      </c>
      <c r="B25" s="23">
        <v>6.6</v>
      </c>
      <c r="C25" s="23">
        <v>1.3</v>
      </c>
    </row>
    <row r="26" spans="1:8" x14ac:dyDescent="0.3">
      <c r="A26" s="11" t="s">
        <v>29</v>
      </c>
      <c r="B26" s="23">
        <v>6.7</v>
      </c>
      <c r="C26" s="23">
        <v>1.3</v>
      </c>
    </row>
    <row r="27" spans="1:8" x14ac:dyDescent="0.3">
      <c r="A27" s="11" t="s">
        <v>30</v>
      </c>
      <c r="B27" s="24">
        <v>6.7</v>
      </c>
      <c r="C27" s="24">
        <v>1.3</v>
      </c>
    </row>
    <row r="28" spans="1:8" x14ac:dyDescent="0.3">
      <c r="A28" s="11" t="s">
        <v>31</v>
      </c>
      <c r="B28" s="24">
        <v>6.7</v>
      </c>
      <c r="C28" s="24">
        <v>1.2</v>
      </c>
    </row>
    <row r="29" spans="1:8" x14ac:dyDescent="0.3">
      <c r="A29" s="11" t="s">
        <v>32</v>
      </c>
      <c r="B29" s="24">
        <v>6.6</v>
      </c>
      <c r="C29" s="24">
        <v>1.2</v>
      </c>
    </row>
    <row r="30" spans="1:8" x14ac:dyDescent="0.3">
      <c r="A30" s="11" t="s">
        <v>33</v>
      </c>
      <c r="B30" s="24">
        <v>6.8</v>
      </c>
      <c r="C30" s="24">
        <v>1.2</v>
      </c>
    </row>
  </sheetData>
  <mergeCells count="6">
    <mergeCell ref="F2:I2"/>
    <mergeCell ref="J2:M2"/>
    <mergeCell ref="N2:Q2"/>
    <mergeCell ref="R2:U2"/>
    <mergeCell ref="A2:A3"/>
    <mergeCell ref="B2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sqref="A1:C21"/>
    </sheetView>
  </sheetViews>
  <sheetFormatPr defaultRowHeight="14.4" x14ac:dyDescent="0.3"/>
  <cols>
    <col min="1" max="1" width="19.109375" customWidth="1"/>
    <col min="2" max="2" width="20" customWidth="1"/>
    <col min="3" max="3" width="20.6640625" customWidth="1"/>
  </cols>
  <sheetData>
    <row r="1" spans="1:3" x14ac:dyDescent="0.3">
      <c r="A1" t="s">
        <v>13</v>
      </c>
      <c r="B1" t="s">
        <v>34</v>
      </c>
      <c r="C1" t="s">
        <v>35</v>
      </c>
    </row>
    <row r="2" spans="1:3" x14ac:dyDescent="0.3">
      <c r="A2" t="s">
        <v>14</v>
      </c>
      <c r="B2" s="9">
        <v>7.2</v>
      </c>
      <c r="C2" s="9">
        <v>1.6</v>
      </c>
    </row>
    <row r="3" spans="1:3" x14ac:dyDescent="0.3">
      <c r="A3" t="s">
        <v>15</v>
      </c>
      <c r="B3" s="9">
        <v>6.8</v>
      </c>
      <c r="C3" s="9">
        <v>1.6</v>
      </c>
    </row>
    <row r="4" spans="1:3" x14ac:dyDescent="0.3">
      <c r="A4" t="s">
        <v>16</v>
      </c>
      <c r="B4" s="9">
        <v>7</v>
      </c>
      <c r="C4" s="9">
        <v>1.7</v>
      </c>
    </row>
    <row r="5" spans="1:3" x14ac:dyDescent="0.3">
      <c r="A5" t="s">
        <v>17</v>
      </c>
      <c r="B5" s="9">
        <v>7.1</v>
      </c>
      <c r="C5" s="9">
        <v>1.7</v>
      </c>
    </row>
    <row r="6" spans="1:3" x14ac:dyDescent="0.3">
      <c r="A6" t="s">
        <v>18</v>
      </c>
      <c r="B6" s="9">
        <v>7.1</v>
      </c>
      <c r="C6" s="9">
        <v>1.7</v>
      </c>
    </row>
    <row r="7" spans="1:3" x14ac:dyDescent="0.3">
      <c r="A7" t="s">
        <v>19</v>
      </c>
      <c r="B7" s="9">
        <v>6.7</v>
      </c>
      <c r="C7" s="9">
        <v>1.6</v>
      </c>
    </row>
    <row r="8" spans="1:3" x14ac:dyDescent="0.3">
      <c r="A8" t="s">
        <v>20</v>
      </c>
      <c r="B8" s="9">
        <v>6.9</v>
      </c>
      <c r="C8" s="9">
        <v>1.5</v>
      </c>
    </row>
    <row r="9" spans="1:3" x14ac:dyDescent="0.3">
      <c r="A9" t="s">
        <v>21</v>
      </c>
      <c r="B9" s="9">
        <v>6.9</v>
      </c>
      <c r="C9" s="9">
        <v>1.6</v>
      </c>
    </row>
    <row r="10" spans="1:3" x14ac:dyDescent="0.3">
      <c r="A10" t="s">
        <v>22</v>
      </c>
      <c r="B10" s="9">
        <v>6.9</v>
      </c>
      <c r="C10" s="9">
        <v>1.5</v>
      </c>
    </row>
    <row r="11" spans="1:3" x14ac:dyDescent="0.3">
      <c r="A11" t="s">
        <v>23</v>
      </c>
      <c r="B11" s="9">
        <v>6.7</v>
      </c>
      <c r="C11" s="9">
        <v>1.5</v>
      </c>
    </row>
    <row r="12" spans="1:3" x14ac:dyDescent="0.3">
      <c r="A12" t="s">
        <v>24</v>
      </c>
      <c r="B12" s="9">
        <v>6.7</v>
      </c>
      <c r="C12" s="9">
        <v>1.4</v>
      </c>
    </row>
    <row r="13" spans="1:3" x14ac:dyDescent="0.3">
      <c r="A13" t="s">
        <v>25</v>
      </c>
      <c r="B13" s="9">
        <v>6.9</v>
      </c>
      <c r="C13" s="9">
        <v>1.4</v>
      </c>
    </row>
    <row r="14" spans="1:3" x14ac:dyDescent="0.3">
      <c r="A14" t="s">
        <v>26</v>
      </c>
      <c r="B14" s="9">
        <v>6.8</v>
      </c>
      <c r="C14" s="9">
        <v>1.3</v>
      </c>
    </row>
    <row r="15" spans="1:3" x14ac:dyDescent="0.3">
      <c r="A15" t="s">
        <v>27</v>
      </c>
      <c r="B15" s="9">
        <v>6.7</v>
      </c>
      <c r="C15" s="9">
        <v>1.3</v>
      </c>
    </row>
    <row r="16" spans="1:3" x14ac:dyDescent="0.3">
      <c r="A16" t="s">
        <v>28</v>
      </c>
      <c r="B16" s="9">
        <v>6.6</v>
      </c>
      <c r="C16" s="9">
        <v>1.3</v>
      </c>
    </row>
    <row r="17" spans="1:3" x14ac:dyDescent="0.3">
      <c r="A17" t="s">
        <v>29</v>
      </c>
      <c r="B17" s="9">
        <v>6.7</v>
      </c>
      <c r="C17" s="9">
        <v>1.3</v>
      </c>
    </row>
    <row r="18" spans="1:3" x14ac:dyDescent="0.3">
      <c r="A18" t="s">
        <v>30</v>
      </c>
      <c r="B18" s="9">
        <v>6.7</v>
      </c>
      <c r="C18" s="9">
        <v>1.3</v>
      </c>
    </row>
    <row r="19" spans="1:3" x14ac:dyDescent="0.3">
      <c r="A19" t="s">
        <v>31</v>
      </c>
      <c r="B19" s="9">
        <v>6.7</v>
      </c>
      <c r="C19" s="9">
        <v>1.2</v>
      </c>
    </row>
    <row r="20" spans="1:3" x14ac:dyDescent="0.3">
      <c r="A20" t="s">
        <v>32</v>
      </c>
      <c r="B20" s="9">
        <v>6.6</v>
      </c>
      <c r="C20" s="9">
        <v>1.2</v>
      </c>
    </row>
    <row r="21" spans="1:3" x14ac:dyDescent="0.3">
      <c r="A21" t="s">
        <v>33</v>
      </c>
      <c r="B21" s="9">
        <v>6.8</v>
      </c>
      <c r="C21" s="9">
        <v>1.2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Vutova</dc:creator>
  <cp:lastModifiedBy>Viktoria Vutova</cp:lastModifiedBy>
  <dcterms:created xsi:type="dcterms:W3CDTF">2026-03-24T13:35:18Z</dcterms:created>
  <dcterms:modified xsi:type="dcterms:W3CDTF">2026-03-24T15:17:09Z</dcterms:modified>
</cp:coreProperties>
</file>